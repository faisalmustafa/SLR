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faisalmustafa/Downloads/"/>
    </mc:Choice>
  </mc:AlternateContent>
  <xr:revisionPtr revIDLastSave="0" documentId="13_ncr:1_{CD97C0AA-E13A-724F-9CD4-347E00BC2F6C}" xr6:coauthVersionLast="47" xr6:coauthVersionMax="47" xr10:uidLastSave="{00000000-0000-0000-0000-000000000000}"/>
  <bookViews>
    <workbookView xWindow="25220" yWindow="6520" windowWidth="35920" windowHeight="27400" xr2:uid="{26A1AF0A-25E3-6449-AEB2-1B64FF14BA39}"/>
  </bookViews>
  <sheets>
    <sheet name="Pass j...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1" l="1"/>
  <c r="B25" i="1"/>
  <c r="D28" i="1"/>
  <c r="B2" i="1"/>
</calcChain>
</file>

<file path=xl/sharedStrings.xml><?xml version="1.0" encoding="utf-8"?>
<sst xmlns="http://schemas.openxmlformats.org/spreadsheetml/2006/main" count="344" uniqueCount="235">
  <si>
    <t>No</t>
  </si>
  <si>
    <t>Nama Lengkap</t>
  </si>
  <si>
    <t>Email</t>
  </si>
  <si>
    <t>Nomor WA</t>
  </si>
  <si>
    <t xml:space="preserve">Institusi </t>
  </si>
  <si>
    <t xml:space="preserve">Status Pekerjaan </t>
  </si>
  <si>
    <t xml:space="preserve">Status Pekerjaan - Lainnya. </t>
  </si>
  <si>
    <t>Pendidikan Terakhir</t>
  </si>
  <si>
    <t>Latar belakang keilmuan</t>
  </si>
  <si>
    <t xml:space="preserve">Pengalaman belajar SLR </t>
  </si>
  <si>
    <t>Pengalaman belajar SLR - Pernah publikasi</t>
  </si>
  <si>
    <t>Kenapa program support group ini penting untuk anda?</t>
  </si>
  <si>
    <t>Apa ekspektasi yang anda harapkan dengan mengikuti Support Group ini?</t>
  </si>
  <si>
    <t xml:space="preserve">Bagaimana komitmen waktu yang dapat anda berikan supaya proses belajar bersama dalam support group akan berjalan maksimal?
</t>
  </si>
  <si>
    <t>Apakah anda memiliki akses terhadap database yang akan menunjang proses systematic review yang akan dilakukan?</t>
  </si>
  <si>
    <t>Tolong jelaskan secara singkat topik dan/atau fokus penelitian apa yang akan dilakukan dengan mengikuti program support group ini?</t>
  </si>
  <si>
    <t>jannahismi96@gmail.com</t>
  </si>
  <si>
    <t>CAKRAWALA UNIVERSITY</t>
  </si>
  <si>
    <t>Dosen</t>
  </si>
  <si>
    <t>S2</t>
  </si>
  <si>
    <t>English education: world englishes</t>
  </si>
  <si>
    <t>Belum pernah</t>
  </si>
  <si>
    <t>In my field of World Englishes research, I want to conduct a more in-depth study of the existing literature.</t>
  </si>
  <si>
    <t>ingin belajar</t>
  </si>
  <si>
    <t>if it is held online it is okay so far</t>
  </si>
  <si>
    <t>ya</t>
  </si>
  <si>
    <t>The field of World Englishes explores the diverse forms and functions of English across different regions and cultural contexts. As English continues to evolve globally, understanding its variations is essential to appreciating the linguistic, social, and cultural dimensions that shape English in non-native contexts. To contribute meaningfully to this field, an in-depth systematic review of existing literature on World Englishes is necessary.  Thus, I want to explore deeply</t>
  </si>
  <si>
    <t>Andini Septama Sari</t>
  </si>
  <si>
    <t>andiniseptamasari@gmail.com</t>
  </si>
  <si>
    <t>Universitas Negeri Malang; STKIP Muhammadiyah Pagaralam</t>
  </si>
  <si>
    <t>Lainnya. Mohon sebutkan</t>
  </si>
  <si>
    <t>Tubel</t>
  </si>
  <si>
    <t>Mahasiswa S3</t>
  </si>
  <si>
    <t>ELT, Material development, technology in Language Learning</t>
  </si>
  <si>
    <t>Pernah belajar</t>
  </si>
  <si>
    <t>Untuk membantu saya dalam mapping topic yang akan saya angkat dallas disertasi saya.</t>
  </si>
  <si>
    <t>Mendapatkan insights tentang SLR dan relasi yang luas.</t>
  </si>
  <si>
    <t>Saya akan fully join to this program, just the same thing as I did when I joined mentoring dissertation program from collaboration between UNSW and UM last semester.</t>
  </si>
  <si>
    <t>YES</t>
  </si>
  <si>
    <t xml:space="preserve">Saya ingin mendalami tentang bagaimana siswa meregulasi diri (Students' regulated learning) dalam pembelajaran listening dengan menggunakan technology enhanced language learning (TELL) 
</t>
  </si>
  <si>
    <t>Misnawati, M.Pd</t>
  </si>
  <si>
    <t>misnamisna965@gmail.com</t>
  </si>
  <si>
    <t>Universitas Almuslim (Sedang melanjutkan S3 di Universitas Syiah Kuala)</t>
  </si>
  <si>
    <t xml:space="preserve">Pendidikan Bahasa Inggris </t>
  </si>
  <si>
    <t>Sebagai dosen dan mahasiswa S3 berkeinginan untuk menulis SRL</t>
  </si>
  <si>
    <t xml:space="preserve">Mendapatkan ilmu pengetahuan yang sangat banyak </t>
  </si>
  <si>
    <t xml:space="preserve">Iya. Insya Allah berkomitmen </t>
  </si>
  <si>
    <t>Belum</t>
  </si>
  <si>
    <t xml:space="preserve">Untuk saat ini belum ada secara spesifiknya namjn secara umum akan menulis tentang Writing Skill </t>
  </si>
  <si>
    <t>Ratna Andhika Mahaputri</t>
  </si>
  <si>
    <t>r.andhikamahaputri@gmail.com</t>
  </si>
  <si>
    <t>Universitas Swadaya Gunungjati</t>
  </si>
  <si>
    <t>S3</t>
  </si>
  <si>
    <t>Pendidikan Bahasa Inggris</t>
  </si>
  <si>
    <t xml:space="preserve">Karena hakikat melakukan re-search adalah kita harus mereview penelitian yang sudah ada guna menentukan langkah inovasi kedepan. </t>
  </si>
  <si>
    <t>Dapat membuat artikel SLR dan mempublikasikannya pada jurnal Scopus/ssci Q1/Q2</t>
  </si>
  <si>
    <t>aktif dalam diskusi WAG dan zoom interaktif minimal 1 bln sekali. Siap memenuhi timeline target penulisan hingga publikasi.</t>
  </si>
  <si>
    <t>(inter)culture-integrated language learning</t>
  </si>
  <si>
    <t>Nurul Inayah</t>
  </si>
  <si>
    <t>nurulinayah@usk.ac.id</t>
  </si>
  <si>
    <t xml:space="preserve">Universitas Syiah Kuala </t>
  </si>
  <si>
    <t xml:space="preserve">Saya adalah mahasiswa doctoral semester awal. Systematic literature review ini adalah hal yang sangat baru bagi saya. Program support group ini akan sangat membantu saya dalam mengawal arah penelitian dan memulai menulis disertasi saya </t>
  </si>
  <si>
    <t xml:space="preserve">Support group ini mampu memberikan pencerahan kepada saya terkait apa yang harus saya lakukan dalam perjalanan disertasi saya </t>
  </si>
  <si>
    <t>saya berkomitmen tinggi selama proses belajar bersama dalam support group</t>
  </si>
  <si>
    <t xml:space="preserve">ya </t>
  </si>
  <si>
    <t xml:space="preserve">Untuk topik atau fokus penelitian belum ada topik yang clear terkait dengan apa yang akan saya lakukan tetapi saya akan berfokus pada pengajaran grammar dengan mengintegrasikan digital di dalam kelas pembelajaran bahasa inggris dalam konteks bahasa inggris sebagai bahasa asing. </t>
  </si>
  <si>
    <t xml:space="preserve">Imam Malik Riduan </t>
  </si>
  <si>
    <t>maliklentera@yahoo.com</t>
  </si>
  <si>
    <t>+62 823-4036-0861</t>
  </si>
  <si>
    <t>ISIF Cirebon</t>
  </si>
  <si>
    <t>Sosiologi Agama, terorisme, radicalism, politik.</t>
  </si>
  <si>
    <t xml:space="preserve">Kolaborasi dan belajar </t>
  </si>
  <si>
    <t>Kolaborasi menulis</t>
  </si>
  <si>
    <t xml:space="preserve">Buat pertemuan reguler </t>
  </si>
  <si>
    <t>Saya punya</t>
  </si>
  <si>
    <t>Sosiologi agama</t>
  </si>
  <si>
    <t>Bita Dwi Rahmani</t>
  </si>
  <si>
    <t>b.rahmani@unsw.edu.au</t>
  </si>
  <si>
    <t>UNSW</t>
  </si>
  <si>
    <t>HDR student</t>
  </si>
  <si>
    <t>TESOL</t>
  </si>
  <si>
    <t>Hardly need a community to gain external support and motivation doing this SLR</t>
  </si>
  <si>
    <t>Please gimme an insight for doing effective SLR</t>
  </si>
  <si>
    <t>Adakan monthly meeting perhaps</t>
  </si>
  <si>
    <t>Yes for now...but not sure for the next couple months</t>
  </si>
  <si>
    <t>Language Assessment, Feedback Literacy</t>
  </si>
  <si>
    <t>Nindya Soraya Dharma</t>
  </si>
  <si>
    <t>nindyasoraya@gmail.com</t>
  </si>
  <si>
    <t xml:space="preserve">Universitas Esa Unggul </t>
  </si>
  <si>
    <t>TESOL
Educational Studies</t>
  </si>
  <si>
    <t xml:space="preserve">Karena saya butuh mentor dalam brainstorming ideas dan menulis. Saya ada beberapa ide, tapi saya tidak yakin apakah ide saya feasible dan saya bahkan tidak begitu tahu harus mulai dari mana. Saya sudah mencoba memahami PRISMA, tapi hal ini masih sulit saya terapkan. Saya sedang mengerjakan SLR mengenai Self-Determination Theory bersama dosen saya dulu di UNSW (Marie McGregor), namun saya masih belum begitu yakin apakah yang saya lakukan sudah benar. Contohnya, mendokumentasikan penelitian terdahulu. Saya rasa hal-hal teknis seperti ini memang hanya bisa dipelajari melalui diskusi dengan yang sudah pernah melakukannya.
Selain itu, karena akses library dan database saya di UNSW akan berakhir, saya ingin mengetahui apa cara lain dalam mengakses databases </t>
  </si>
  <si>
    <t>1. Dapat mendokumentasikan penelitian terstruktur secara terstruktur
2. Berlatih mensintesa penelitian-penelitian
3. Tetap termotivasi dalam mengerjakan SLR</t>
  </si>
  <si>
    <t>Dapat mengikuti komunikasi via WAG
Dapat mengikuti Webinar 1-2 kali per minggu (1-2 jam)</t>
  </si>
  <si>
    <t>Sementara ini ada - mungkin hingga Desember 2024</t>
  </si>
  <si>
    <t xml:space="preserve">The role of Self-Determination Theory in EFL learning and teaching (settings).
Dalam topik ini, saya dan dosen saya bermaksud mengeksplore peran SDT selama ini digunakan dalam menjelaskan nature of motivation in EFL settings. Contoh: SDT-based intervention, internalization of motivation. 
Fokus ke SDT di EFL settings: motivasi dalam pelajaran Bahasa Inggris di EFL countries lebih kompleks karena eksposure ke Bahasa Inggris lebih terbatas di luar jam pelajaran sehingga tujuan pelajaran Bahasa Inggris di EFL contexts adalah bagaimana mempertahankan motivasi siswa untuk tetap belajar Bahasa Inggris meskipun di luar pelajaran (autonomous motivation). 
</t>
  </si>
  <si>
    <t>Dian Ekawati</t>
  </si>
  <si>
    <t>dian_ekawati@uinsgd.aci.d</t>
  </si>
  <si>
    <t>UIN Sunan Gunung Djati Bandung</t>
  </si>
  <si>
    <t>Pendidikan Bahasa Inggris (S1-S3)</t>
  </si>
  <si>
    <t>Pernah publikasi (mohon sertakan link jurnal terkait)</t>
  </si>
  <si>
    <t>International journal of Education
Link: 
https://ejournal.upi.edu/index.php/ije/article/view/32853</t>
  </si>
  <si>
    <t xml:space="preserve">Tujuan utama agar  bisa publikasi menggunakan systematic literature review. Selain itu, bisa sharing dengan kolega tentang SLR ini sehingga bisa dimanfaatkan untuk publikasi bersama kolega </t>
  </si>
  <si>
    <t>Publikasi yang selesai</t>
  </si>
  <si>
    <t>Harus dipaksakan bisa mengikuti webinar rutin dengan aktif (dalam keadaan apapun) dan WA selalu aktif merespon komunikasi di WAG</t>
  </si>
  <si>
    <t>Tidak</t>
  </si>
  <si>
    <t xml:space="preserve">Teacher Professional Development yang berfokus pada teacher preparation program </t>
  </si>
  <si>
    <t>Rosalin Ismayoeng Gusdian</t>
  </si>
  <si>
    <t>r.gusdian@unsw.edu.au</t>
  </si>
  <si>
    <t>Mahasiswa</t>
  </si>
  <si>
    <t>Linguistics</t>
  </si>
  <si>
    <t xml:space="preserve">Saya memerlukan bimbingan dari kakak-kakak mentor yang berpengalaman agar topik SLR saya dapat terealisasi dengan baik. Dengan adanya support group ini saya berharap bisa membuat langkah-langkah penelitian SLR yang efektif dan committed to it, terutama di tengah kesibukan pengumpulan data untuk tesis saya.
</t>
  </si>
  <si>
    <t>Bisa publish SLR tahun depan</t>
  </si>
  <si>
    <t xml:space="preserve">Saya sudah berkomitmen untuk fokus 2 hari dalam seminggu fokus ke writing SLR (Sekarang masih dalam tahap formulating research questions).  Semoga dengan adanya WAG, komitmen saya semakin kuat :)
</t>
  </si>
  <si>
    <t xml:space="preserve">SLR tentang Teachers‚Äô Practices of Pedagogical Translanguaging </t>
  </si>
  <si>
    <t>Desy Indriana</t>
  </si>
  <si>
    <t>d.indriana@yahoo.com</t>
  </si>
  <si>
    <t>Kampus asal: S1 Pendidikan Bahasa Inggris Universitas Negeri Yogyakarta, S2 Pendidikan Bahasa Inggris Universitas Sebelas Maret. Saat ini sebagai dosen di Universitas 'Aisyiyah Yogyakarta.</t>
  </si>
  <si>
    <t>S1 dan S2 Pendidikan Bahasa Inggris</t>
  </si>
  <si>
    <t>Selama kuliah dan sampai saat ini, saya belum pernah belajar penyusunan artikel SLR. Tertarik untuk belajar lebih dalam dan menulis artikel SLR.</t>
  </si>
  <si>
    <t>Memahami penyusunan artikel SLR dan menghasilkan artikel agar ke depan saya bisa berbagi ilmu dan menulis artikel SLR bersama kolega saya di Universitas 'Aisyiyah Yogyakarta dan kolega-kolega lain di universitas-universitas di Yogyakarta.</t>
  </si>
  <si>
    <t>Saya bisa berkomitmen minimal 6 jam dalam seminggu untuk berkomunikasi melalui WAG dan mengikuti webinar rutin, sampai kewajiban saya dalam kelompok ini terpenuhi dengan selesainya dan terbitnya artikel SLR yang ditargetkan.</t>
  </si>
  <si>
    <t>http://search.ebscohost.com dan https://onlinelibrary.wiley.com/</t>
  </si>
  <si>
    <t>Saat ini saya tertarik pada topik Literacy, Teaching English as a Foreign Language in Higher Education, dan English as Specific Purposes.</t>
  </si>
  <si>
    <t>Sukma Septian Nasution</t>
  </si>
  <si>
    <t>sukmaseptian.nasution@postgrad.otago.ac.nz</t>
  </si>
  <si>
    <t>The University of Otago</t>
  </si>
  <si>
    <t>Peneliti</t>
  </si>
  <si>
    <t>English Education</t>
  </si>
  <si>
    <t xml:space="preserve">Saya ingin memiliki pengalaman menulis SLR karena belum pernah mendapatkan pengalaman ini sebelumnya dan ingin dibimbing secara bertahap sebagai penulis pemula. </t>
  </si>
  <si>
    <t>Saya dapat menulis dan menghasilkan satu SLR untuk dipublikasi.</t>
  </si>
  <si>
    <t>3-4 jam perminggu</t>
  </si>
  <si>
    <t>Ya</t>
  </si>
  <si>
    <t>Translanguaging in EFL context</t>
  </si>
  <si>
    <t xml:space="preserve">Muhammad Hidayat </t>
  </si>
  <si>
    <t>umadheyojr986@gmail.com</t>
  </si>
  <si>
    <t xml:space="preserve">Universitas Mataram </t>
  </si>
  <si>
    <t xml:space="preserve">Pendidikan Bahasa Inggris (TESOL) </t>
  </si>
  <si>
    <t xml:space="preserve">Wadah untuk belajar bareng kolega-kolega lain yang lebih berpengalaman. </t>
  </si>
  <si>
    <t xml:space="preserve">Bisa running satu penelitian sampai penerbitan. </t>
  </si>
  <si>
    <t xml:space="preserve">Siap untuk ikut webinar maupun join WAG. </t>
  </si>
  <si>
    <t>Belum punya.</t>
  </si>
  <si>
    <t xml:space="preserve">feedback in ELT </t>
  </si>
  <si>
    <t>Mega Wulandari</t>
  </si>
  <si>
    <t>The Ohio State University</t>
  </si>
  <si>
    <t>PhD student</t>
  </si>
  <si>
    <t>English Language Education, Technology enhanced language education</t>
  </si>
  <si>
    <t>masih dalam proses saat ini</t>
  </si>
  <si>
    <t>Berbagi informasi dan pandangan, sehingga memperkaya keilmuan</t>
  </si>
  <si>
    <t xml:space="preserve">Saya berharap dapat berkesempatan belajar dan berkolaborasi dengan kolega dari UNSW, dan exchange information dengan yang saya dapatkan di US. Dan semoga kolaborasi berlanjut sampai publikasi. </t>
  </si>
  <si>
    <t xml:space="preserve">saya siap belajar setiap weekend, Ataupun kapanpun dibutuhkan. </t>
  </si>
  <si>
    <t>Digital Multimodal Composition in EFL context</t>
  </si>
  <si>
    <t xml:space="preserve">Shelia Anjarani </t>
  </si>
  <si>
    <t>sheliaanjarani@ump.ac.id</t>
  </si>
  <si>
    <t xml:space="preserve">Universitas Muhammadiyah Purwokerto </t>
  </si>
  <si>
    <t>Support group ini sangat penting bagi saya sebagai dosen dan calon mahasiswa S3:
1.Program ini melatih saya untuk melakukan literature review secara terstruktur untuk mendalami topik penelitian, memahami metodologi, dan menemukan research gap. 
2. Dengan bekerja dalam kelompok, harapannya nanti dapat saling membantu, bertukar wawasan, dan meningkatkan kualitas SLR yang dihasilkan.</t>
  </si>
  <si>
    <t xml:space="preserve">1) Peningkatan pemahaman metode SLR: ekspektasi saya dapat memahami prinsip-prinsip dasar dan langkah-langkah dalam systematic literature review, termasuk perumusan research questions, kriteria inklusi dan eksklusi, strategi pencarian, dll 
2)Kemampuan analisis yang kritis dan objektif
3) Kolaborasi yang efektif dan efisien 
4) Output artikel yang siap dipublikasikan
5) Kemampuan menggunakan software untuk mendukung SLR </t>
  </si>
  <si>
    <t xml:space="preserve">Saya akan mengikuti timeline yang ditawarkan dan fleksibel jika ada perubahan. </t>
  </si>
  <si>
    <t xml:space="preserve">Belum ada. </t>
  </si>
  <si>
    <t>Fokus penelitian saya adalah tentang "the implementation of AI in flipped learning". 
Penelitian ini harapannya dapat membantu menjawab pertanyaan tentang bagaimana AI diimplementasikan dalam flipped learning, dampaknya pada siswa dan guru, serta tantangan apa yang perlu diatasi. Kajian SLR ini diharapkan dapat mengidentifikasi best practices serta potensi inovasi yang dapat dikembangkan di masa depan.</t>
  </si>
  <si>
    <t>Dewi Wardah Mazidatur Rohmah</t>
  </si>
  <si>
    <t>d.rohmah@unsw.edu.au</t>
  </si>
  <si>
    <t>Saat ini saya sedang mengerjakan SLR sebagai bagian dari project disertasi saya. Meskipun di UNSW sudah ada forum untuk berdiskusi tentang SLR, saya merasa akan lebih mendapatkan banyak manfaat jika begabung dengan grup ini karena saya akan berada pada lingkungan yang sangat supportif dalam penulisan SLR.</t>
  </si>
  <si>
    <t>Saya berharap dapat bertemu dengan rekan-rekan yang memiliki minat penelitian yang serupa dengan minat saya. Saya juga berharap agar proses penulisan SLR saya menjadi lebih terarah.</t>
  </si>
  <si>
    <t xml:space="preserve">Saya dapat mengalokasikan waktu yang maksimal dalam proses belajar bersama di support group. </t>
  </si>
  <si>
    <t>Topik yang saya ambil adalah tentang e-mentoring dalam pengembangan profesi guru</t>
  </si>
  <si>
    <t>Lathifatuddini</t>
  </si>
  <si>
    <t>lathifatuddini@gmail.com</t>
  </si>
  <si>
    <t>STIT Darussalam Lhokseumawe</t>
  </si>
  <si>
    <t xml:space="preserve">https://journal.ar-raniry.ac.id/ICELT/article/view/5770
Sebelumnya saya sudah pernah belajar mengenai PRISMA, namun belum terlalu mendalam. Diatas adalah tulisan saya yang terbit di prosiding international conference. Jika diberi kesempatan bergabung untuk kolaborasi, saya berharap dapat belajar lebih banyak dari para senior semua.
</t>
  </si>
  <si>
    <t>Sebagai dosen, saya rasa pengetahuan saya mengenai publikasi ini sangat penting,. Namun, ilmu yang saya dapatkan masih sangat minim. Saya berharap dengan bergabung di grup ini dapat menambah wawasan saya dalam dunia menulis jurnal dan publikasi.</t>
  </si>
  <si>
    <t>Dapat melakukan publikasi jurnal internasional dan mendapat teman-teman yang memiliki visi dan misi yang sama khususnya pada bidang penulisan jurnal atau karya ilmiah lainnya.</t>
  </si>
  <si>
    <t>Saat ini saya rasa tidak ada masalah dengan komitmen waktu karena saya memiliki banyak waktu luang. Saya ingin memaksimalkan waktu luang yang saya miliki dengan menelaah jurnal.</t>
  </si>
  <si>
    <t xml:space="preserve">Tidak ada. Pada penulisan sebelumnya saya hanya menggunakan database yang tersedia di internet seperti Eric, , Publish or Perish dan Google Schoolar. </t>
  </si>
  <si>
    <t>Saat ini saya tertarik untuk menulis tema-tema yang berkaitan dengan:
- Autonomous learning
- Self-Regulated Learning
- Flipped Classroom
- AI in ESL/EFL
- Digital support in ESL/EFL
Tema lainnya yang menarik bagi saya tentunya yang berkaitan dengan Pendidikan khususnya Pendidikan Bahasa Inggris seperti Metode mengajar, Media dalam belajar dan mengajar, dll. Berikut ini link Google Scholar saya sebagai rujukan penulisan saya yang masih sedikit dan masih butuh banyak berbenah.
https://scholar.google.com/citations?hl=id&amp;user=yyoMBQ8AAAAJ</t>
  </si>
  <si>
    <t xml:space="preserve">Lystiana Nurhayat Hakim </t>
  </si>
  <si>
    <t>tianaghea@gmail.com</t>
  </si>
  <si>
    <t xml:space="preserve">Universitas Negeri Malang </t>
  </si>
  <si>
    <t xml:space="preserve">TESOL </t>
  </si>
  <si>
    <t>Sangat memberikan insight dalam melakukan SLR yang belum pernah saya lakukan. Saat ini artikel yang dibuat selama masa studi lanjut hanya menggunakan qualitative ataupun mixed methods. Oleh karena itu besar harapan saya dapat lebih banyak belajar dan berpengalaman dalam membuat artikel SLR bersama grup ini.</t>
  </si>
  <si>
    <t>Saya dapat berhasil menyusun artikel SLR bersama sama dengan tim di grup ini.</t>
  </si>
  <si>
    <t xml:space="preserve">Saya akan membagi waktu antara kuliah dan belajar bersama di grup ini dan berkomitmen untuk meluangkan waktu dan berkontribusi dalam belajar dan menulis bersama di grup ini.
</t>
  </si>
  <si>
    <t xml:space="preserve">Continuing teacher Professional Development </t>
  </si>
  <si>
    <t>Misnar, MA</t>
  </si>
  <si>
    <t>misnarma@gmail.com</t>
  </si>
  <si>
    <t>Universitas Syiah Kuala</t>
  </si>
  <si>
    <t>Pendidikan bahasa inggris</t>
  </si>
  <si>
    <t xml:space="preserve">Untuk penyelesaian studi s3 </t>
  </si>
  <si>
    <t>Untuk menghasilkan artikel SLR</t>
  </si>
  <si>
    <t>Saya akan mengikuti suppirt group ini sesuai dengan agenda pelaksanaanya</t>
  </si>
  <si>
    <t>Tidak adav</t>
  </si>
  <si>
    <t>Lesson study di asia tenggara dalam peningkatan profeaionalisme guru bahasa inggris</t>
  </si>
  <si>
    <t>Munawwarah</t>
  </si>
  <si>
    <t>munawwarah.sipanawa@gmail.com</t>
  </si>
  <si>
    <t>teacher education and professional development</t>
  </si>
  <si>
    <t>Saat ini saya sedang mempelajari proses awal SLR, dengan join program mentoring ini harapannya bisa membantu saya memahami prosedur dalam mengerjakan SLR, termasuk dalam full text review, coding dan juga analisis.</t>
  </si>
  <si>
    <t>bisa menjadi guidance dalam mengerjakan SLR dan juga bisa terlibat sebagai collaborator bagi teman2 yang sedang mempelajari teknik2 SLR.</t>
  </si>
  <si>
    <t>saya bisa menjamin komitmen saya dalam mempelajari SLR dan saya dapat mengalokasikan waktu untuk ikut terlibat dalam diskusi2 dengan sesama mentee</t>
  </si>
  <si>
    <t xml:space="preserve">Topik yang sedang saya kerjakan yaitu terkait Teaching Practicum and/or placement in rural schools, dalam proses mengerjakan topik ini saya telah melakukan screening sekita 363 paper dan saat sedang dalam proses full text screening untuk melihat quality appraisal artikel. </t>
  </si>
  <si>
    <t>Aldha Williyan</t>
  </si>
  <si>
    <t>alwilliyan@unsil.ac.id</t>
  </si>
  <si>
    <t>Universitas Siliwangi</t>
  </si>
  <si>
    <t>Karena membekali saya banyak hal, utamanya penulisan SLR.</t>
  </si>
  <si>
    <t>Dapat menghasilkan SLR dan publish di Journal International bereputasi.</t>
  </si>
  <si>
    <t>seminggu sekali maybe</t>
  </si>
  <si>
    <t>belum</t>
  </si>
  <si>
    <t>AIEd, especially in TEFL</t>
  </si>
  <si>
    <t xml:space="preserve">Nuskhan Abid </t>
  </si>
  <si>
    <t>nuskhan@iainkudus.ac.id</t>
  </si>
  <si>
    <t xml:space="preserve">Institut Agama Islam Negeri Kudus </t>
  </si>
  <si>
    <t xml:space="preserve">English Language Teaching </t>
  </si>
  <si>
    <t xml:space="preserve">Untuk menunjang luaran publikasi pada studi S3 yang saat ini saya tempuh. Selain itu dengan mempelajari hal baru saya akan mendapatkan pengalaman yang bisa saya bagikan juga dengan mahasiswa atau kolega. </t>
  </si>
  <si>
    <t>Mendapatkan banyak hal baru terutama tentang Systematic Literature Review. Secara khusus saya ingin mempraktikkan teknik dan prosedur yang tepat untuk menyusun artikel SLR dari mentor yang sudah berpengalaman.</t>
  </si>
  <si>
    <t>Mengalokasikan waktu khusus untuk di luar aktifitas rutin sehingga proses belajar bersama di grup tidak akan terganggu.</t>
  </si>
  <si>
    <t>Scopus, namun tidak semuanya, hanya partial</t>
  </si>
  <si>
    <t>Penelitian yang saya lakukan fokus kepada etika Islam dan identitas profesional dosen pengajar bahasa Inggris di Universitas Islam Negeri di Indonesia.</t>
  </si>
  <si>
    <t xml:space="preserve">Yuliana Angreini Syafruddin </t>
  </si>
  <si>
    <t>yuliana.angreinisf@gmail.com</t>
  </si>
  <si>
    <t>Applied Linguistics and TESOL</t>
  </si>
  <si>
    <t>lailymartin.sasingunand@gmail.com</t>
  </si>
  <si>
    <t>UNIVERSITAS ANDALAS/UNIKA ATMA JAYA, JAKARTA</t>
  </si>
  <si>
    <t>LINGUISTIK TERAPAN BAHASA INGGRIS</t>
  </si>
  <si>
    <t>Dian Heriani, S.Pd., M.Hum</t>
  </si>
  <si>
    <t>dianheriani@polsri.ac.id</t>
  </si>
  <si>
    <t>Politeknik Negeri Sriwijaya</t>
  </si>
  <si>
    <t xml:space="preserve">SLR hal yang baru dan saya tertarik untuk menemukan konsep ilmu baru dalam bidang liguistik terapan. SLR bukan hanya kegiatan mereview menurut saya namun saya ingin diberi kesempatan untuk terlibat langsung dengan best practice dalam SLR. Dari data (hasil penelitian, isu, tren maupun masalah) bagaimana bisa melihat hal baru untuk memberikan dampak dalam ilmu pengetauan. Saya ingin mengetahui beberapa hal terkait SLR untuk dapat saya terapkan:
1. Keterampilan literacy dalam membaca, melihat hal unik, menarik untuk di review
2. SLR dengan cara yang efektif dan memudahkan penulis pemula
3. Bagaimana SLR yang bisa diterima ataupun ditolak
4. step by step dalam SLR dengan cara yang menyenangkan hehe..
5. Bagaimana membangun paradigma berpikir untuk lebih terstruktur untuk penelitian yang kita fokuskan di SLR?. </t>
  </si>
  <si>
    <t>Teguh Khaerudin</t>
  </si>
  <si>
    <t>t.khaerudin@gmail.com</t>
  </si>
  <si>
    <t>UIN Syarif Hidayatullah Jakarta</t>
  </si>
  <si>
    <t>Educational Studies</t>
  </si>
  <si>
    <t xml:space="preserve">Pernah jadi co-author meta-analysis paper: 10.3233/WOR-220062
</t>
  </si>
  <si>
    <t>Joined WA</t>
  </si>
  <si>
    <t>Joined</t>
  </si>
  <si>
    <t>Applied Linguistics</t>
  </si>
  <si>
    <t>wulandari.3@osu.edu</t>
  </si>
  <si>
    <t>English vocabulary retention on movie series with L1 and English subtitles: The role of vocabulary level and 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</si>
</sst>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 fontId="0" fillId="0" borderId="0" xfId="0" applyNumberFormat="1"/>
    <xf numFmtId="0" fontId="0" fillId="0" borderId="0" xfId="0" applyAlignment="1">
      <alignment horizontal="center"/>
    </xf>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6F270-B92A-5A49-8E9D-070EF3387952}">
  <dimension ref="A1:Q39"/>
  <sheetViews>
    <sheetView tabSelected="1" zoomScale="140" zoomScaleNormal="140" workbookViewId="0">
      <selection activeCell="C39" sqref="C39"/>
    </sheetView>
  </sheetViews>
  <sheetFormatPr baseColWidth="10" defaultRowHeight="16" x14ac:dyDescent="0.2"/>
  <cols>
    <col min="2" max="2" width="28" bestFit="1" customWidth="1"/>
    <col min="3" max="3" width="39.1640625" customWidth="1"/>
    <col min="4" max="4" width="10.83203125" style="2"/>
    <col min="5" max="5" width="33.33203125" customWidth="1"/>
    <col min="7" max="7" width="22" bestFit="1" customWidth="1"/>
    <col min="9" max="9" width="17" bestFit="1" customWidth="1"/>
    <col min="10" max="10" width="60" bestFit="1" customWidth="1"/>
    <col min="11" max="17" width="0" hidden="1" customWidth="1"/>
  </cols>
  <sheetData>
    <row r="1" spans="1:17" x14ac:dyDescent="0.2">
      <c r="A1" t="s">
        <v>0</v>
      </c>
      <c r="B1" t="s">
        <v>1</v>
      </c>
      <c r="C1" t="s">
        <v>2</v>
      </c>
      <c r="D1" s="2" t="s">
        <v>230</v>
      </c>
      <c r="E1" s="1" t="s">
        <v>3</v>
      </c>
      <c r="F1" t="s">
        <v>4</v>
      </c>
      <c r="G1" t="s">
        <v>5</v>
      </c>
      <c r="H1" t="s">
        <v>6</v>
      </c>
      <c r="I1" t="s">
        <v>7</v>
      </c>
      <c r="J1" t="s">
        <v>8</v>
      </c>
      <c r="K1" t="s">
        <v>9</v>
      </c>
      <c r="L1" t="s">
        <v>10</v>
      </c>
      <c r="M1" t="s">
        <v>11</v>
      </c>
      <c r="N1" t="s">
        <v>12</v>
      </c>
      <c r="O1" t="s">
        <v>13</v>
      </c>
      <c r="P1" t="s">
        <v>14</v>
      </c>
      <c r="Q1" t="s">
        <v>15</v>
      </c>
    </row>
    <row r="2" spans="1:17" x14ac:dyDescent="0.2">
      <c r="A2">
        <v>1</v>
      </c>
      <c r="B2" t="str">
        <f>PROPER("NUR JANNAH ISMI WAKHIDAH")</f>
        <v>Nur Jannah Ismi Wakhidah</v>
      </c>
      <c r="C2" t="s">
        <v>16</v>
      </c>
      <c r="D2" s="2" t="s">
        <v>231</v>
      </c>
      <c r="E2" s="1">
        <v>85800264950</v>
      </c>
      <c r="F2" t="s">
        <v>17</v>
      </c>
      <c r="G2" t="s">
        <v>18</v>
      </c>
      <c r="I2" t="s">
        <v>19</v>
      </c>
      <c r="J2" t="s">
        <v>20</v>
      </c>
      <c r="K2" t="s">
        <v>21</v>
      </c>
      <c r="M2" t="s">
        <v>22</v>
      </c>
      <c r="N2" t="s">
        <v>23</v>
      </c>
      <c r="O2" t="s">
        <v>24</v>
      </c>
      <c r="P2" t="s">
        <v>25</v>
      </c>
      <c r="Q2" t="s">
        <v>26</v>
      </c>
    </row>
    <row r="3" spans="1:17" x14ac:dyDescent="0.2">
      <c r="A3">
        <v>2</v>
      </c>
      <c r="B3" t="s">
        <v>27</v>
      </c>
      <c r="C3" t="s">
        <v>28</v>
      </c>
      <c r="D3" s="2" t="s">
        <v>231</v>
      </c>
      <c r="E3" s="1">
        <v>6282282292036</v>
      </c>
      <c r="F3" t="s">
        <v>29</v>
      </c>
      <c r="G3" t="s">
        <v>30</v>
      </c>
      <c r="H3" t="s">
        <v>31</v>
      </c>
      <c r="I3" t="s">
        <v>32</v>
      </c>
      <c r="J3" t="s">
        <v>33</v>
      </c>
      <c r="K3" t="s">
        <v>34</v>
      </c>
      <c r="M3" t="s">
        <v>35</v>
      </c>
      <c r="N3" t="s">
        <v>36</v>
      </c>
      <c r="O3" t="s">
        <v>37</v>
      </c>
      <c r="P3" t="s">
        <v>38</v>
      </c>
      <c r="Q3" t="s">
        <v>39</v>
      </c>
    </row>
    <row r="4" spans="1:17" x14ac:dyDescent="0.2">
      <c r="A4">
        <v>3</v>
      </c>
      <c r="B4" t="s">
        <v>40</v>
      </c>
      <c r="C4" t="s">
        <v>41</v>
      </c>
      <c r="D4" s="2" t="s">
        <v>231</v>
      </c>
      <c r="E4" s="1">
        <v>6285358485211</v>
      </c>
      <c r="F4" t="s">
        <v>42</v>
      </c>
      <c r="G4" t="s">
        <v>18</v>
      </c>
      <c r="I4" t="s">
        <v>19</v>
      </c>
      <c r="J4" t="s">
        <v>43</v>
      </c>
      <c r="K4" t="s">
        <v>21</v>
      </c>
      <c r="M4" t="s">
        <v>44</v>
      </c>
      <c r="N4" t="s">
        <v>45</v>
      </c>
      <c r="O4" t="s">
        <v>46</v>
      </c>
      <c r="P4" t="s">
        <v>47</v>
      </c>
      <c r="Q4" t="s">
        <v>48</v>
      </c>
    </row>
    <row r="5" spans="1:17" x14ac:dyDescent="0.2">
      <c r="A5">
        <v>4</v>
      </c>
      <c r="B5" t="s">
        <v>49</v>
      </c>
      <c r="C5" t="s">
        <v>50</v>
      </c>
      <c r="D5" s="2" t="s">
        <v>231</v>
      </c>
      <c r="E5" s="1">
        <v>6281802368674</v>
      </c>
      <c r="F5" t="s">
        <v>51</v>
      </c>
      <c r="G5" t="s">
        <v>18</v>
      </c>
      <c r="I5" t="s">
        <v>52</v>
      </c>
      <c r="J5" t="s">
        <v>53</v>
      </c>
      <c r="K5" t="s">
        <v>34</v>
      </c>
      <c r="M5" t="s">
        <v>54</v>
      </c>
      <c r="N5" t="s">
        <v>55</v>
      </c>
      <c r="O5" t="s">
        <v>56</v>
      </c>
      <c r="P5" t="s">
        <v>25</v>
      </c>
      <c r="Q5" t="s">
        <v>57</v>
      </c>
    </row>
    <row r="6" spans="1:17" x14ac:dyDescent="0.2">
      <c r="A6">
        <v>5</v>
      </c>
      <c r="B6" t="s">
        <v>58</v>
      </c>
      <c r="C6" t="s">
        <v>59</v>
      </c>
      <c r="D6" s="2" t="s">
        <v>231</v>
      </c>
      <c r="E6" s="1">
        <v>81217796349</v>
      </c>
      <c r="F6" t="s">
        <v>60</v>
      </c>
      <c r="G6" t="s">
        <v>18</v>
      </c>
      <c r="I6" t="s">
        <v>32</v>
      </c>
      <c r="J6" t="s">
        <v>43</v>
      </c>
      <c r="K6" t="s">
        <v>21</v>
      </c>
      <c r="M6" t="s">
        <v>61</v>
      </c>
      <c r="N6" t="s">
        <v>62</v>
      </c>
      <c r="O6" t="s">
        <v>63</v>
      </c>
      <c r="P6" t="s">
        <v>64</v>
      </c>
      <c r="Q6" t="s">
        <v>65</v>
      </c>
    </row>
    <row r="7" spans="1:17" x14ac:dyDescent="0.2">
      <c r="A7">
        <v>6</v>
      </c>
      <c r="B7" t="s">
        <v>66</v>
      </c>
      <c r="C7" t="s">
        <v>67</v>
      </c>
      <c r="D7" s="2" t="s">
        <v>231</v>
      </c>
      <c r="E7" s="1" t="s">
        <v>68</v>
      </c>
      <c r="F7" t="s">
        <v>69</v>
      </c>
      <c r="G7" t="s">
        <v>18</v>
      </c>
      <c r="I7" t="s">
        <v>52</v>
      </c>
      <c r="J7" t="s">
        <v>70</v>
      </c>
      <c r="K7" t="s">
        <v>21</v>
      </c>
      <c r="M7" t="s">
        <v>71</v>
      </c>
      <c r="N7" t="s">
        <v>72</v>
      </c>
      <c r="O7" t="s">
        <v>73</v>
      </c>
      <c r="P7" t="s">
        <v>74</v>
      </c>
      <c r="Q7" t="s">
        <v>75</v>
      </c>
    </row>
    <row r="8" spans="1:17" x14ac:dyDescent="0.2">
      <c r="A8">
        <v>7</v>
      </c>
      <c r="B8" t="s">
        <v>76</v>
      </c>
      <c r="C8" t="s">
        <v>77</v>
      </c>
      <c r="D8" s="2" t="s">
        <v>231</v>
      </c>
      <c r="E8" s="1">
        <v>817899389</v>
      </c>
      <c r="F8" t="s">
        <v>78</v>
      </c>
      <c r="G8" t="s">
        <v>30</v>
      </c>
      <c r="H8" t="s">
        <v>79</v>
      </c>
      <c r="I8" t="s">
        <v>19</v>
      </c>
      <c r="J8" t="s">
        <v>80</v>
      </c>
      <c r="K8" t="s">
        <v>34</v>
      </c>
      <c r="M8" t="s">
        <v>81</v>
      </c>
      <c r="N8" t="s">
        <v>82</v>
      </c>
      <c r="O8" t="s">
        <v>83</v>
      </c>
      <c r="P8" t="s">
        <v>84</v>
      </c>
      <c r="Q8" t="s">
        <v>85</v>
      </c>
    </row>
    <row r="9" spans="1:17" x14ac:dyDescent="0.2">
      <c r="A9">
        <v>8</v>
      </c>
      <c r="B9" t="s">
        <v>86</v>
      </c>
      <c r="C9" t="s">
        <v>87</v>
      </c>
      <c r="D9" s="2" t="s">
        <v>231</v>
      </c>
      <c r="E9" s="1">
        <v>6282280082873</v>
      </c>
      <c r="F9" t="s">
        <v>88</v>
      </c>
      <c r="G9" t="s">
        <v>18</v>
      </c>
      <c r="I9" t="s">
        <v>19</v>
      </c>
      <c r="J9" t="s">
        <v>89</v>
      </c>
      <c r="K9" t="s">
        <v>21</v>
      </c>
      <c r="M9" t="s">
        <v>90</v>
      </c>
      <c r="N9" t="s">
        <v>91</v>
      </c>
      <c r="O9" t="s">
        <v>92</v>
      </c>
      <c r="P9" t="s">
        <v>93</v>
      </c>
      <c r="Q9" t="s">
        <v>94</v>
      </c>
    </row>
    <row r="10" spans="1:17" x14ac:dyDescent="0.2">
      <c r="A10">
        <v>9</v>
      </c>
      <c r="B10" t="s">
        <v>95</v>
      </c>
      <c r="C10" t="s">
        <v>96</v>
      </c>
      <c r="D10" s="2" t="s">
        <v>231</v>
      </c>
      <c r="E10" s="1">
        <v>8122147854</v>
      </c>
      <c r="F10" t="s">
        <v>97</v>
      </c>
      <c r="G10" t="s">
        <v>18</v>
      </c>
      <c r="I10" t="s">
        <v>52</v>
      </c>
      <c r="J10" t="s">
        <v>98</v>
      </c>
      <c r="K10" t="s">
        <v>99</v>
      </c>
      <c r="L10" t="s">
        <v>100</v>
      </c>
      <c r="M10" t="s">
        <v>101</v>
      </c>
      <c r="N10" t="s">
        <v>102</v>
      </c>
      <c r="O10" t="s">
        <v>103</v>
      </c>
      <c r="P10" t="s">
        <v>104</v>
      </c>
      <c r="Q10" t="s">
        <v>105</v>
      </c>
    </row>
    <row r="11" spans="1:17" x14ac:dyDescent="0.2">
      <c r="A11">
        <v>10</v>
      </c>
      <c r="B11" t="s">
        <v>106</v>
      </c>
      <c r="C11" t="s">
        <v>107</v>
      </c>
      <c r="D11" s="2" t="s">
        <v>231</v>
      </c>
      <c r="E11" s="1">
        <v>6281293101697</v>
      </c>
      <c r="F11" t="s">
        <v>78</v>
      </c>
      <c r="G11" t="s">
        <v>30</v>
      </c>
      <c r="H11" t="s">
        <v>108</v>
      </c>
      <c r="I11" t="s">
        <v>32</v>
      </c>
      <c r="J11" t="s">
        <v>109</v>
      </c>
      <c r="K11" t="s">
        <v>21</v>
      </c>
      <c r="M11" t="s">
        <v>110</v>
      </c>
      <c r="N11" t="s">
        <v>111</v>
      </c>
      <c r="O11" t="s">
        <v>112</v>
      </c>
      <c r="P11" t="s">
        <v>25</v>
      </c>
      <c r="Q11" t="s">
        <v>113</v>
      </c>
    </row>
    <row r="12" spans="1:17" x14ac:dyDescent="0.2">
      <c r="A12">
        <v>11</v>
      </c>
      <c r="B12" t="s">
        <v>114</v>
      </c>
      <c r="C12" t="s">
        <v>115</v>
      </c>
      <c r="D12" s="2" t="s">
        <v>231</v>
      </c>
      <c r="E12" s="1">
        <v>6285643507161</v>
      </c>
      <c r="F12" t="s">
        <v>116</v>
      </c>
      <c r="G12" t="s">
        <v>18</v>
      </c>
      <c r="I12" t="s">
        <v>19</v>
      </c>
      <c r="J12" t="s">
        <v>117</v>
      </c>
      <c r="K12" t="s">
        <v>21</v>
      </c>
      <c r="M12" t="s">
        <v>118</v>
      </c>
      <c r="N12" t="s">
        <v>119</v>
      </c>
      <c r="O12" t="s">
        <v>120</v>
      </c>
      <c r="P12" t="s">
        <v>121</v>
      </c>
      <c r="Q12" t="s">
        <v>122</v>
      </c>
    </row>
    <row r="13" spans="1:17" x14ac:dyDescent="0.2">
      <c r="A13">
        <v>12</v>
      </c>
      <c r="B13" t="s">
        <v>123</v>
      </c>
      <c r="C13" t="s">
        <v>124</v>
      </c>
      <c r="D13" s="2" t="s">
        <v>231</v>
      </c>
      <c r="E13" s="1">
        <v>6281210356273</v>
      </c>
      <c r="F13" t="s">
        <v>125</v>
      </c>
      <c r="G13" t="s">
        <v>126</v>
      </c>
      <c r="I13" t="s">
        <v>32</v>
      </c>
      <c r="J13" t="s">
        <v>127</v>
      </c>
      <c r="K13" t="s">
        <v>21</v>
      </c>
      <c r="M13" t="s">
        <v>128</v>
      </c>
      <c r="N13" t="s">
        <v>129</v>
      </c>
      <c r="O13" t="s">
        <v>130</v>
      </c>
      <c r="P13" t="s">
        <v>131</v>
      </c>
      <c r="Q13" t="s">
        <v>132</v>
      </c>
    </row>
    <row r="14" spans="1:17" x14ac:dyDescent="0.2">
      <c r="A14">
        <v>13</v>
      </c>
      <c r="B14" t="s">
        <v>133</v>
      </c>
      <c r="C14" t="s">
        <v>134</v>
      </c>
      <c r="D14" s="2" t="s">
        <v>231</v>
      </c>
      <c r="E14" s="1">
        <v>6281290192327</v>
      </c>
      <c r="F14" t="s">
        <v>135</v>
      </c>
      <c r="G14" t="s">
        <v>18</v>
      </c>
      <c r="I14" t="s">
        <v>19</v>
      </c>
      <c r="J14" t="s">
        <v>136</v>
      </c>
      <c r="K14" t="s">
        <v>34</v>
      </c>
      <c r="M14" t="s">
        <v>137</v>
      </c>
      <c r="N14" t="s">
        <v>138</v>
      </c>
      <c r="O14" t="s">
        <v>139</v>
      </c>
      <c r="P14" t="s">
        <v>140</v>
      </c>
      <c r="Q14" t="s">
        <v>141</v>
      </c>
    </row>
    <row r="15" spans="1:17" x14ac:dyDescent="0.2">
      <c r="A15">
        <v>14</v>
      </c>
      <c r="B15" t="s">
        <v>142</v>
      </c>
      <c r="C15" s="3" t="s">
        <v>233</v>
      </c>
      <c r="D15" s="2" t="s">
        <v>231</v>
      </c>
      <c r="E15" s="1">
        <v>6282226862244</v>
      </c>
      <c r="F15" t="s">
        <v>143</v>
      </c>
      <c r="G15" t="s">
        <v>30</v>
      </c>
      <c r="H15" t="s">
        <v>144</v>
      </c>
      <c r="I15" t="s">
        <v>32</v>
      </c>
      <c r="J15" t="s">
        <v>145</v>
      </c>
      <c r="K15" t="s">
        <v>99</v>
      </c>
      <c r="L15" t="s">
        <v>146</v>
      </c>
      <c r="M15" t="s">
        <v>147</v>
      </c>
      <c r="N15" t="s">
        <v>148</v>
      </c>
      <c r="O15" t="s">
        <v>149</v>
      </c>
      <c r="P15" t="s">
        <v>25</v>
      </c>
      <c r="Q15" t="s">
        <v>150</v>
      </c>
    </row>
    <row r="16" spans="1:17" x14ac:dyDescent="0.2">
      <c r="A16">
        <v>15</v>
      </c>
      <c r="B16" t="s">
        <v>151</v>
      </c>
      <c r="C16" t="s">
        <v>152</v>
      </c>
      <c r="D16" s="2" t="s">
        <v>231</v>
      </c>
      <c r="E16" s="1">
        <v>6281390813743</v>
      </c>
      <c r="F16" t="s">
        <v>153</v>
      </c>
      <c r="G16" t="s">
        <v>18</v>
      </c>
      <c r="I16" t="s">
        <v>19</v>
      </c>
      <c r="J16" t="s">
        <v>43</v>
      </c>
      <c r="K16" t="s">
        <v>21</v>
      </c>
      <c r="M16" t="s">
        <v>154</v>
      </c>
      <c r="N16" t="s">
        <v>155</v>
      </c>
      <c r="O16" t="s">
        <v>156</v>
      </c>
      <c r="P16" t="s">
        <v>157</v>
      </c>
      <c r="Q16" t="s">
        <v>158</v>
      </c>
    </row>
    <row r="17" spans="1:17" x14ac:dyDescent="0.2">
      <c r="A17">
        <v>16</v>
      </c>
      <c r="B17" t="s">
        <v>159</v>
      </c>
      <c r="C17" t="s">
        <v>160</v>
      </c>
      <c r="D17" s="2" t="s">
        <v>231</v>
      </c>
      <c r="E17" s="1">
        <v>61490368916</v>
      </c>
      <c r="F17" t="s">
        <v>78</v>
      </c>
      <c r="G17" t="s">
        <v>18</v>
      </c>
      <c r="I17" t="s">
        <v>19</v>
      </c>
      <c r="J17" t="s">
        <v>53</v>
      </c>
      <c r="K17" t="s">
        <v>21</v>
      </c>
      <c r="M17" t="s">
        <v>161</v>
      </c>
      <c r="N17" t="s">
        <v>162</v>
      </c>
      <c r="O17" t="s">
        <v>163</v>
      </c>
      <c r="P17" t="s">
        <v>131</v>
      </c>
      <c r="Q17" t="s">
        <v>164</v>
      </c>
    </row>
    <row r="18" spans="1:17" x14ac:dyDescent="0.2">
      <c r="A18">
        <v>17</v>
      </c>
      <c r="B18" t="s">
        <v>165</v>
      </c>
      <c r="C18" t="s">
        <v>166</v>
      </c>
      <c r="D18" s="2" t="s">
        <v>231</v>
      </c>
      <c r="E18" s="1">
        <v>6285277015808</v>
      </c>
      <c r="F18" t="s">
        <v>167</v>
      </c>
      <c r="G18" t="s">
        <v>18</v>
      </c>
      <c r="I18" t="s">
        <v>19</v>
      </c>
      <c r="J18" t="s">
        <v>53</v>
      </c>
      <c r="K18" t="s">
        <v>99</v>
      </c>
      <c r="L18" t="s">
        <v>168</v>
      </c>
      <c r="M18" t="s">
        <v>169</v>
      </c>
      <c r="N18" t="s">
        <v>170</v>
      </c>
      <c r="O18" t="s">
        <v>171</v>
      </c>
      <c r="P18" t="s">
        <v>172</v>
      </c>
      <c r="Q18" t="s">
        <v>173</v>
      </c>
    </row>
    <row r="19" spans="1:17" x14ac:dyDescent="0.2">
      <c r="A19">
        <v>18</v>
      </c>
      <c r="B19" t="s">
        <v>174</v>
      </c>
      <c r="C19" t="s">
        <v>175</v>
      </c>
      <c r="D19" s="2" t="s">
        <v>231</v>
      </c>
      <c r="E19" s="1">
        <v>6285222871989</v>
      </c>
      <c r="F19" t="s">
        <v>176</v>
      </c>
      <c r="G19" t="s">
        <v>18</v>
      </c>
      <c r="I19" t="s">
        <v>32</v>
      </c>
      <c r="J19" t="s">
        <v>177</v>
      </c>
      <c r="K19" t="s">
        <v>21</v>
      </c>
      <c r="M19" t="s">
        <v>178</v>
      </c>
      <c r="N19" t="s">
        <v>179</v>
      </c>
      <c r="O19" t="s">
        <v>180</v>
      </c>
      <c r="P19" t="s">
        <v>104</v>
      </c>
      <c r="Q19" t="s">
        <v>181</v>
      </c>
    </row>
    <row r="20" spans="1:17" x14ac:dyDescent="0.2">
      <c r="A20">
        <v>19</v>
      </c>
      <c r="B20" t="s">
        <v>182</v>
      </c>
      <c r="C20" t="s">
        <v>183</v>
      </c>
      <c r="D20" s="2" t="s">
        <v>231</v>
      </c>
      <c r="E20" s="1">
        <v>6282279794741</v>
      </c>
      <c r="F20" t="s">
        <v>184</v>
      </c>
      <c r="G20" t="s">
        <v>18</v>
      </c>
      <c r="I20" t="s">
        <v>32</v>
      </c>
      <c r="J20" t="s">
        <v>185</v>
      </c>
      <c r="K20" t="s">
        <v>34</v>
      </c>
      <c r="M20" t="s">
        <v>186</v>
      </c>
      <c r="N20" t="s">
        <v>187</v>
      </c>
      <c r="O20" t="s">
        <v>188</v>
      </c>
      <c r="P20" t="s">
        <v>189</v>
      </c>
      <c r="Q20" t="s">
        <v>190</v>
      </c>
    </row>
    <row r="21" spans="1:17" x14ac:dyDescent="0.2">
      <c r="A21">
        <v>20</v>
      </c>
      <c r="B21" t="s">
        <v>191</v>
      </c>
      <c r="C21" t="s">
        <v>192</v>
      </c>
      <c r="D21" s="2" t="s">
        <v>231</v>
      </c>
      <c r="E21" s="1">
        <v>61449554685</v>
      </c>
      <c r="F21" t="s">
        <v>78</v>
      </c>
      <c r="G21" t="s">
        <v>18</v>
      </c>
      <c r="I21" t="s">
        <v>19</v>
      </c>
      <c r="J21" t="s">
        <v>193</v>
      </c>
      <c r="K21" t="s">
        <v>34</v>
      </c>
      <c r="M21" t="s">
        <v>194</v>
      </c>
      <c r="N21" t="s">
        <v>195</v>
      </c>
      <c r="O21" t="s">
        <v>196</v>
      </c>
      <c r="P21" t="s">
        <v>25</v>
      </c>
      <c r="Q21" t="s">
        <v>197</v>
      </c>
    </row>
    <row r="22" spans="1:17" x14ac:dyDescent="0.2">
      <c r="A22">
        <v>21</v>
      </c>
      <c r="B22" t="s">
        <v>198</v>
      </c>
      <c r="C22" t="s">
        <v>199</v>
      </c>
      <c r="D22" s="2" t="s">
        <v>231</v>
      </c>
      <c r="E22" s="1">
        <v>628997960183</v>
      </c>
      <c r="F22" t="s">
        <v>200</v>
      </c>
      <c r="G22" t="s">
        <v>18</v>
      </c>
      <c r="I22" t="s">
        <v>32</v>
      </c>
      <c r="J22" t="s">
        <v>53</v>
      </c>
      <c r="K22" t="s">
        <v>21</v>
      </c>
      <c r="M22" t="s">
        <v>201</v>
      </c>
      <c r="N22" t="s">
        <v>202</v>
      </c>
      <c r="O22" t="s">
        <v>203</v>
      </c>
      <c r="P22" t="s">
        <v>204</v>
      </c>
      <c r="Q22" t="s">
        <v>205</v>
      </c>
    </row>
    <row r="23" spans="1:17" x14ac:dyDescent="0.2">
      <c r="A23">
        <v>22</v>
      </c>
      <c r="B23" t="s">
        <v>206</v>
      </c>
      <c r="C23" t="s">
        <v>207</v>
      </c>
      <c r="D23" s="2" t="s">
        <v>231</v>
      </c>
      <c r="E23" s="1">
        <v>6285648082247</v>
      </c>
      <c r="F23" t="s">
        <v>208</v>
      </c>
      <c r="G23" t="s">
        <v>18</v>
      </c>
      <c r="I23" t="s">
        <v>32</v>
      </c>
      <c r="J23" t="s">
        <v>209</v>
      </c>
      <c r="K23" t="s">
        <v>21</v>
      </c>
      <c r="M23" t="s">
        <v>210</v>
      </c>
      <c r="N23" t="s">
        <v>211</v>
      </c>
      <c r="O23" t="s">
        <v>212</v>
      </c>
      <c r="P23" t="s">
        <v>213</v>
      </c>
      <c r="Q23" t="s">
        <v>214</v>
      </c>
    </row>
    <row r="24" spans="1:17" x14ac:dyDescent="0.2">
      <c r="A24">
        <v>23</v>
      </c>
      <c r="B24" t="s">
        <v>215</v>
      </c>
      <c r="C24" t="s">
        <v>216</v>
      </c>
      <c r="D24" s="2" t="s">
        <v>231</v>
      </c>
      <c r="E24" s="1">
        <v>6282281201608</v>
      </c>
      <c r="F24" t="s">
        <v>184</v>
      </c>
      <c r="G24" t="s">
        <v>18</v>
      </c>
      <c r="I24" t="s">
        <v>19</v>
      </c>
      <c r="J24" t="s">
        <v>217</v>
      </c>
      <c r="K24" t="s">
        <v>21</v>
      </c>
    </row>
    <row r="25" spans="1:17" x14ac:dyDescent="0.2">
      <c r="A25">
        <v>24</v>
      </c>
      <c r="B25" t="str">
        <f>PROPER("LAILY MARTIN")</f>
        <v>Laily Martin</v>
      </c>
      <c r="C25" t="s">
        <v>218</v>
      </c>
      <c r="D25" s="2" t="s">
        <v>231</v>
      </c>
      <c r="E25" s="1">
        <v>6281363288678</v>
      </c>
      <c r="F25" t="s">
        <v>219</v>
      </c>
      <c r="G25" t="s">
        <v>18</v>
      </c>
      <c r="I25" t="s">
        <v>32</v>
      </c>
      <c r="J25" t="s">
        <v>220</v>
      </c>
      <c r="K25" t="s">
        <v>34</v>
      </c>
    </row>
    <row r="26" spans="1:17" x14ac:dyDescent="0.2">
      <c r="A26">
        <v>25</v>
      </c>
      <c r="B26" t="s">
        <v>221</v>
      </c>
      <c r="C26" t="s">
        <v>222</v>
      </c>
      <c r="D26" s="2" t="s">
        <v>231</v>
      </c>
      <c r="E26" s="1">
        <v>628116080306</v>
      </c>
      <c r="F26" t="s">
        <v>223</v>
      </c>
      <c r="G26" t="s">
        <v>18</v>
      </c>
      <c r="I26" t="s">
        <v>19</v>
      </c>
      <c r="J26" t="s">
        <v>232</v>
      </c>
      <c r="K26" t="s">
        <v>99</v>
      </c>
      <c r="L26" t="s">
        <v>224</v>
      </c>
    </row>
    <row r="27" spans="1:17" x14ac:dyDescent="0.2">
      <c r="A27">
        <v>26</v>
      </c>
      <c r="B27" t="s">
        <v>225</v>
      </c>
      <c r="C27" t="s">
        <v>226</v>
      </c>
      <c r="D27" s="2" t="s">
        <v>231</v>
      </c>
      <c r="E27" s="1">
        <v>451856757</v>
      </c>
      <c r="F27" t="s">
        <v>227</v>
      </c>
      <c r="G27" t="s">
        <v>18</v>
      </c>
      <c r="I27" t="s">
        <v>52</v>
      </c>
      <c r="J27" t="s">
        <v>228</v>
      </c>
      <c r="K27" t="s">
        <v>99</v>
      </c>
      <c r="L27" t="s">
        <v>229</v>
      </c>
    </row>
    <row r="28" spans="1:17" x14ac:dyDescent="0.2">
      <c r="D28" s="2">
        <f>COUNTBLANK(D2:D27)</f>
        <v>0</v>
      </c>
      <c r="E28" s="1"/>
    </row>
    <row r="29" spans="1:17" x14ac:dyDescent="0.2">
      <c r="E29" s="1"/>
    </row>
    <row r="36" spans="3:3" x14ac:dyDescent="0.2">
      <c r="C36" t="str">
        <f>LOWER("ENGLISH VOCABULARY RETENTION ON MOVIE SERIES WITH L1 AND ENGLISH SUBTITLES: THE ROLE OF VOCABULARY LEVEL AND FREQUENCY")</f>
        <v>english vocabulary retention on movie series with l1 and english subtitles: the role of vocabulary level and frequency</v>
      </c>
    </row>
    <row r="39" spans="3:3" x14ac:dyDescent="0.2">
      <c r="C39" t="s">
        <v>234</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Pass 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Reviewer</cp:lastModifiedBy>
  <dcterms:created xsi:type="dcterms:W3CDTF">2024-11-28T01:17:47Z</dcterms:created>
  <dcterms:modified xsi:type="dcterms:W3CDTF">2024-12-05T09:04:20Z</dcterms:modified>
</cp:coreProperties>
</file>